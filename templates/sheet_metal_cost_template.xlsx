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成本分析" sheetId="1" r:id="rId1"/>
  </sheets>
  <definedNames>
    <definedName name="_xlnm._FilterDatabase" localSheetId="0" hidden="1">成本分析!$A$2:$CV$32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<sst xmlns="http://schemas.openxmlformats.org/spreadsheetml/2006/main" count="199" uniqueCount="148">
  <si>
    <t>产品基本信息</t>
  </si>
  <si>
    <t>原材料情况</t>
  </si>
  <si>
    <t>下料</t>
  </si>
  <si>
    <t>加工</t>
  </si>
  <si>
    <t>表面处理</t>
  </si>
  <si>
    <t>其他费用（未税）</t>
  </si>
  <si>
    <t>成本分析总价</t>
  </si>
  <si>
    <t>备注</t>
  </si>
  <si>
    <t>NO</t>
  </si>
  <si>
    <t>层级</t>
  </si>
  <si>
    <t>Part number</t>
  </si>
  <si>
    <t>是否有下级物料</t>
  </si>
  <si>
    <t>产品类型</t>
  </si>
  <si>
    <t>图示</t>
  </si>
  <si>
    <t>物料描述</t>
  </si>
  <si>
    <t>单套用量</t>
  </si>
  <si>
    <t>单价</t>
  </si>
  <si>
    <t>BOM价格</t>
  </si>
  <si>
    <t>图纸材质</t>
  </si>
  <si>
    <t>替代材质</t>
  </si>
  <si>
    <t>原材料重（KG）</t>
  </si>
  <si>
    <t>单品净重（KG）</t>
  </si>
  <si>
    <t>原材料未税单价（元/吨）</t>
  </si>
  <si>
    <t>原材料费用（未税）</t>
  </si>
  <si>
    <t>原材料占比</t>
  </si>
  <si>
    <t xml:space="preserve">激光切单价元/m
</t>
  </si>
  <si>
    <t>激光切数量
（米）</t>
  </si>
  <si>
    <t>激光切成本</t>
  </si>
  <si>
    <t xml:space="preserve">激光切孔单价元/m
</t>
  </si>
  <si>
    <t>激光切孔数量
（米）</t>
  </si>
  <si>
    <t>其他工序名称</t>
  </si>
  <si>
    <t>数量/工时</t>
  </si>
  <si>
    <t>其他工序成本</t>
  </si>
  <si>
    <t>下料费用合计（未税）</t>
  </si>
  <si>
    <t>下料费占比%</t>
  </si>
  <si>
    <t>倒角单价元/个</t>
  </si>
  <si>
    <t>倒角数量（个）</t>
  </si>
  <si>
    <t>倒角成本</t>
  </si>
  <si>
    <t>攻丝单价元/个</t>
  </si>
  <si>
    <t>攻丝数量（个）</t>
  </si>
  <si>
    <t>攻丝成本</t>
  </si>
  <si>
    <t>抛光单价（元/㎡）</t>
  </si>
  <si>
    <t>抛光数量（㎡）</t>
  </si>
  <si>
    <t>抛光成本</t>
  </si>
  <si>
    <t>折弯单价元/个</t>
  </si>
  <si>
    <t>折弯数量（个）</t>
  </si>
  <si>
    <t>折弯成本</t>
  </si>
  <si>
    <t>修边单件元/小时</t>
  </si>
  <si>
    <t>修边工时元/个</t>
  </si>
  <si>
    <t>修边成本</t>
  </si>
  <si>
    <t>铣单价元/小时</t>
  </si>
  <si>
    <t>铣工时</t>
  </si>
  <si>
    <t>铣孔成本</t>
  </si>
  <si>
    <t>拉丝单价元/㎡</t>
  </si>
  <si>
    <t>拉丝数量（㎡)</t>
  </si>
  <si>
    <t>拉丝成本</t>
  </si>
  <si>
    <t>冲孔单价元/个</t>
  </si>
  <si>
    <t>冲孔数量（个）</t>
  </si>
  <si>
    <t>冲孔成本</t>
  </si>
  <si>
    <t>压铆单价元/个</t>
  </si>
  <si>
    <t>压铆数量（个）</t>
  </si>
  <si>
    <t>压铆成本</t>
  </si>
  <si>
    <t>焊接单价元/小时</t>
  </si>
  <si>
    <t>焊接工时</t>
  </si>
  <si>
    <t>焊接成本</t>
  </si>
  <si>
    <t>其他工序单价</t>
  </si>
  <si>
    <t>费用（未税）</t>
  </si>
  <si>
    <t>加工费占比%</t>
  </si>
  <si>
    <t>电镀单价元/KG</t>
  </si>
  <si>
    <t>电镀数量（KG）</t>
  </si>
  <si>
    <t>电镀成本</t>
  </si>
  <si>
    <t>喷涂单价元/d㎡</t>
  </si>
  <si>
    <t>喷涂数量（d㎡）</t>
  </si>
  <si>
    <t>喷涂成本</t>
  </si>
  <si>
    <t>热浸锌单价元/KG</t>
  </si>
  <si>
    <t>热浸锌数量</t>
  </si>
  <si>
    <t>热浸锌成本</t>
  </si>
  <si>
    <t>修锌单价元/小时</t>
  </si>
  <si>
    <t>修锌工时</t>
  </si>
  <si>
    <t>修锌成本</t>
  </si>
  <si>
    <t>其他表面处理方式</t>
  </si>
  <si>
    <t>其他表面处理成本</t>
  </si>
  <si>
    <t>表面处理费占比%</t>
  </si>
  <si>
    <t>加工费合计</t>
  </si>
  <si>
    <t>材料及加工费合计</t>
  </si>
  <si>
    <t>包装费用</t>
  </si>
  <si>
    <t>运输费用</t>
  </si>
  <si>
    <t>管理费</t>
  </si>
  <si>
    <t>利润</t>
  </si>
  <si>
    <t>利管运费占比%</t>
  </si>
  <si>
    <t>9048145-01</t>
  </si>
  <si>
    <t>Y</t>
  </si>
  <si>
    <t>组件（装配）</t>
  </si>
  <si>
    <t>AIS blade root box assembly</t>
  </si>
  <si>
    <t>组件（焊接）</t>
  </si>
  <si>
    <t>housing AIS blade root box</t>
  </si>
  <si>
    <t>打磨</t>
  </si>
  <si>
    <t>拉丝</t>
  </si>
  <si>
    <t>9048151-1</t>
  </si>
  <si>
    <t>N</t>
  </si>
  <si>
    <t>钣金件</t>
  </si>
  <si>
    <t>housing base sheet metal</t>
  </si>
  <si>
    <t>1.4301</t>
  </si>
  <si>
    <t>304</t>
  </si>
  <si>
    <t>2</t>
  </si>
  <si>
    <t>9048151-2</t>
  </si>
  <si>
    <t>housing panel 1</t>
  </si>
  <si>
    <t>9048151-3</t>
  </si>
  <si>
    <t>housing panel 2</t>
  </si>
  <si>
    <t>9048151-4</t>
  </si>
  <si>
    <t>sheet metal (housing)</t>
  </si>
  <si>
    <t>E0004523039-00</t>
  </si>
  <si>
    <t>紧固件</t>
  </si>
  <si>
    <t>M10*25六角螺栓screw ISO 4017-M10x25-A4-70</t>
  </si>
  <si>
    <t>E0005148155</t>
  </si>
  <si>
    <t>M6拉铆母 blind rivet nut NX-CS1003-6-0.5-10-St</t>
  </si>
  <si>
    <t>9048151-7</t>
  </si>
  <si>
    <t>subframe panel</t>
  </si>
  <si>
    <t>subplate AIS blade root box</t>
  </si>
  <si>
    <t>6</t>
  </si>
  <si>
    <t>E0005251660-01</t>
  </si>
  <si>
    <t>cover AIS root box</t>
  </si>
  <si>
    <t>0.17</t>
  </si>
  <si>
    <t>E0005251660-1</t>
  </si>
  <si>
    <t>sheet metal (cover) EN AW-5754-H111</t>
  </si>
  <si>
    <t>EN AW-5754-H111</t>
  </si>
  <si>
    <t>Al5754</t>
  </si>
  <si>
    <t>E0005251660-2</t>
  </si>
  <si>
    <t>机加工件</t>
  </si>
  <si>
    <t>tube EN AW-6060-T66 (L=65mm)</t>
  </si>
  <si>
    <t>NX-CS1003-M10</t>
  </si>
  <si>
    <t>外购件</t>
  </si>
  <si>
    <t>blind rivet nut NX-IS1003-M10-0.8-3.5-St</t>
  </si>
  <si>
    <t>E0005251663</t>
  </si>
  <si>
    <t>密封条</t>
  </si>
  <si>
    <t>https://detail.1688.com/offer/788583236989.html?spm=a26352.13672862.offerlist.5.5bd41e62vFYPzu&amp;offerId=788583236989&amp;sortType=&amp;pageId=&amp;abBizDataType=cbuOffer&amp;trace_log=normal&amp;uuid=a54a42ae9ebe44e8a1d10f0f7ddc722d&amp;skuId=5380221472226&amp;forcePC=1779687491818</t>
  </si>
  <si>
    <t>sealing profile Happich 4610048 L=1190mm</t>
  </si>
  <si>
    <t>03800-12515</t>
  </si>
  <si>
    <t>M6*40六角螺栓 screw ISO 4017-M6x40-8.8-galZn</t>
  </si>
  <si>
    <t>E0003401443</t>
  </si>
  <si>
    <t>M6*40六角螺栓 nut ISO 4032-M10-A4-70</t>
  </si>
  <si>
    <t>03850-46417</t>
  </si>
  <si>
    <t>washer ISO 7089-10-200HV-A4</t>
  </si>
  <si>
    <t>03850-52143</t>
  </si>
  <si>
    <t>washer ISO 7089-6-300HV-galZn</t>
  </si>
  <si>
    <t>E0005402737</t>
  </si>
  <si>
    <t>O型圈</t>
  </si>
  <si>
    <t>O-ring DIN ISO 3601-1-008B-4.47x1.78-N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</si>
</sst>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¥-804]#,##0.00;[$¥-804]\-#,##0.00"/>
    <numFmt numFmtId="177" formatCode="_ * #,##0.0_ ;_ * \-#,##0.0_ ;_ * &quot;-&quot;??_ ;_ @_ "/>
    <numFmt numFmtId="178" formatCode="0.00_);[Red]\(0.00\)"/>
  </numFmts>
  <fonts count="25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b/>
      <sz val="9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name val="宋体"/>
      <charset val="134"/>
    </font>
  </fonts>
  <fills count="49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6" tint="0.8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9" tint="0.6"/>
        <bgColor indexed="64"/>
      </patternFill>
    </fill>
    <fill>
      <patternFill patternType="solid">
        <fgColor theme="2" tint="-0.25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21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22" borderId="5">
      <alignment vertical="center"/>
    </xf>
    <xf numFmtId="0" fontId="14" fillId="23" borderId="6">
      <alignment vertical="center"/>
    </xf>
    <xf numFmtId="0" fontId="15" fillId="23" borderId="5">
      <alignment vertical="center"/>
    </xf>
    <xf numFmtId="0" fontId="16" fillId="24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  <xf numFmtId="0" fontId="22" fillId="36" borderId="0">
      <alignment vertical="center"/>
    </xf>
    <xf numFmtId="0" fontId="23" fillId="37" borderId="0">
      <alignment vertical="center"/>
    </xf>
    <xf numFmtId="0" fontId="23" fillId="3" borderId="0">
      <alignment vertical="center"/>
    </xf>
    <xf numFmtId="0" fontId="22" fillId="38" borderId="0">
      <alignment vertical="center"/>
    </xf>
    <xf numFmtId="0" fontId="22" fillId="39" borderId="0">
      <alignment vertical="center"/>
    </xf>
    <xf numFmtId="0" fontId="23" fillId="40" borderId="0">
      <alignment vertical="center"/>
    </xf>
    <xf numFmtId="0" fontId="23" fillId="41" borderId="0">
      <alignment vertical="center"/>
    </xf>
    <xf numFmtId="0" fontId="22" fillId="42" borderId="0">
      <alignment vertical="center"/>
    </xf>
    <xf numFmtId="0" fontId="22" fillId="17" borderId="0">
      <alignment vertical="center"/>
    </xf>
    <xf numFmtId="0" fontId="23" fillId="43" borderId="0">
      <alignment vertical="center"/>
    </xf>
    <xf numFmtId="0" fontId="23" fillId="2" borderId="0">
      <alignment vertical="center"/>
    </xf>
    <xf numFmtId="0" fontId="22" fillId="44" borderId="0">
      <alignment vertical="center"/>
    </xf>
    <xf numFmtId="0" fontId="22" fillId="45" borderId="0">
      <alignment vertical="center"/>
    </xf>
    <xf numFmtId="0" fontId="23" fillId="46" borderId="0">
      <alignment vertical="center"/>
    </xf>
    <xf numFmtId="0" fontId="23" fillId="47" borderId="0">
      <alignment vertical="center"/>
    </xf>
    <xf numFmtId="0" fontId="22" fillId="48" borderId="0">
      <alignment vertical="center"/>
    </xf>
    <xf numFmtId="176" fontId="24" fillId="0" borderId="0"/>
    <xf numFmtId="176" fontId="0" fillId="0" borderId="0"/>
  </cellStyleXfs>
  <cellXfs count="59">
    <xf numFmtId="0" fontId="0" fillId="0" borderId="0" xfId="0"/>
    <xf numFmtId="49" fontId="0" fillId="0" borderId="1" xfId="0" applyNumberFormat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center" wrapText="1"/>
    </xf>
    <xf numFmtId="177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1" xfId="0" applyNumberFormat="1" applyBorder="1" applyAlignment="1">
      <alignment vertical="center"/>
    </xf>
    <xf numFmtId="9" fontId="0" fillId="0" borderId="1" xfId="3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2" borderId="1" xfId="0" applyFont="1" applyFill="1" applyBorder="1" applyAlignment="1">
      <alignment horizontal="left" vertical="center" wrapText="1"/>
    </xf>
    <xf numFmtId="0" fontId="3" fillId="3" borderId="1" xfId="0" applyFont="1" applyFill="1" applyBorder="1" applyAlignment="1">
      <alignment horizontal="center" vertical="center" wrapText="1"/>
    </xf>
    <xf numFmtId="177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NumberFormat="1" applyBorder="1"/>
    <xf numFmtId="9" fontId="3" fillId="2" borderId="1" xfId="3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2" borderId="1" xfId="49" applyNumberFormat="1" applyFont="1" applyFill="1" applyBorder="1" applyAlignment="1">
      <alignment vertical="center" wrapText="1"/>
    </xf>
    <xf numFmtId="0" fontId="4" fillId="2" borderId="1" xfId="49" applyNumberFormat="1" applyFont="1" applyFill="1" applyBorder="1" applyAlignment="1">
      <alignment horizontal="center" vertical="center" wrapText="1"/>
    </xf>
    <xf numFmtId="0" fontId="4" fillId="2" borderId="1" xfId="49" applyNumberFormat="1" applyFont="1" applyFill="1" applyBorder="1" applyAlignment="1">
      <alignment horizontal="left" vertical="center" wrapText="1"/>
    </xf>
    <xf numFmtId="176" fontId="4" fillId="2" borderId="1" xfId="49" applyFont="1" applyFill="1" applyBorder="1" applyAlignment="1">
      <alignment horizontal="left" vertical="top" wrapText="1"/>
    </xf>
    <xf numFmtId="176" fontId="4" fillId="2" borderId="1" xfId="49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9" fontId="4" fillId="5" borderId="1" xfId="3" applyFont="1" applyFill="1" applyBorder="1" applyAlignment="1">
      <alignment horizontal="center" vertical="center" wrapText="1"/>
    </xf>
    <xf numFmtId="177" fontId="4" fillId="6" borderId="1" xfId="0" applyNumberFormat="1" applyFont="1" applyFill="1" applyBorder="1" applyAlignment="1">
      <alignment vertical="center" wrapText="1"/>
    </xf>
    <xf numFmtId="0" fontId="4" fillId="6" borderId="1" xfId="0" applyFont="1" applyFill="1" applyBorder="1" applyAlignment="1">
      <alignment vertical="center" wrapText="1"/>
    </xf>
    <xf numFmtId="0" fontId="4" fillId="7" borderId="1" xfId="0" applyFont="1" applyFill="1" applyBorder="1" applyAlignment="1">
      <alignment vertical="center" wrapText="1"/>
    </xf>
    <xf numFmtId="0" fontId="4" fillId="8" borderId="1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10" fontId="4" fillId="5" borderId="1" xfId="3" applyNumberFormat="1" applyFont="1" applyFill="1" applyBorder="1" applyAlignment="1">
      <alignment horizontal="center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center" vertical="center" wrapText="1"/>
    </xf>
    <xf numFmtId="0" fontId="4" fillId="11" borderId="1" xfId="0" applyFont="1" applyFill="1" applyBorder="1" applyAlignment="1">
      <alignment horizontal="center" vertical="center" wrapText="1"/>
    </xf>
    <xf numFmtId="0" fontId="4" fillId="12" borderId="1" xfId="0" applyFont="1" applyFill="1" applyBorder="1" applyAlignment="1">
      <alignment horizontal="center" vertical="center" wrapText="1"/>
    </xf>
    <xf numFmtId="0" fontId="4" fillId="12" borderId="1" xfId="0" applyNumberFormat="1" applyFont="1" applyFill="1" applyBorder="1" applyAlignment="1">
      <alignment horizontal="center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14" borderId="1" xfId="0" applyFont="1" applyFill="1" applyBorder="1" applyAlignment="1">
      <alignment horizontal="center" vertical="center" wrapText="1"/>
    </xf>
    <xf numFmtId="0" fontId="4" fillId="15" borderId="1" xfId="0" applyFont="1" applyFill="1" applyBorder="1" applyAlignment="1">
      <alignment horizontal="center" vertical="center" wrapText="1"/>
    </xf>
    <xf numFmtId="0" fontId="4" fillId="16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17" borderId="1" xfId="0" applyFont="1" applyFill="1" applyBorder="1" applyAlignment="1">
      <alignment horizontal="center" vertical="center" wrapText="1"/>
    </xf>
    <xf numFmtId="0" fontId="4" fillId="18" borderId="1" xfId="0" applyFont="1" applyFill="1" applyBorder="1" applyAlignment="1">
      <alignment horizontal="center" vertical="center" wrapText="1"/>
    </xf>
    <xf numFmtId="0" fontId="4" fillId="19" borderId="1" xfId="0" applyFont="1" applyFill="1" applyBorder="1" applyAlignment="1">
      <alignment horizontal="center" vertical="center" wrapText="1"/>
    </xf>
    <xf numFmtId="9" fontId="4" fillId="8" borderId="1" xfId="3" applyFont="1" applyFill="1" applyBorder="1" applyAlignment="1">
      <alignment horizontal="center" vertical="center" wrapText="1"/>
    </xf>
    <xf numFmtId="9" fontId="4" fillId="20" borderId="1" xfId="3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49" fontId="0" fillId="0" borderId="1" xfId="0" applyNumberFormat="1" applyBorder="1"/>
    <xf numFmtId="49" fontId="0" fillId="4" borderId="1" xfId="0" applyNumberFormat="1" applyFill="1" applyBorder="1" applyAlignment="1">
      <alignment horizontal="left"/>
    </xf>
    <xf numFmtId="49" fontId="1" fillId="0" borderId="1" xfId="0" applyNumberFormat="1" applyFont="1" applyBorder="1" applyAlignment="1">
      <alignment vertical="center"/>
    </xf>
    <xf numFmtId="49" fontId="2" fillId="0" borderId="1" xfId="0" applyNumberFormat="1" applyFont="1" applyBorder="1" applyAlignment="1">
      <alignment horizontal="left" vertical="top" wrapText="1"/>
    </xf>
    <xf numFmtId="178" fontId="0" fillId="0" borderId="1" xfId="0" applyNumberFormat="1" applyBorder="1"/>
    <xf numFmtId="49" fontId="0" fillId="0" borderId="1" xfId="0" applyNumberFormat="1" applyBorder="1" applyAlignment="1">
      <alignment wrapText="1"/>
    </xf>
    <xf numFmtId="0" fontId="5" fillId="0" borderId="1" xfId="6" applyBorder="1">
      <alignment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8" Type="http://schemas.openxmlformats.org/officeDocument/2006/relationships/image" Target="../media/image18.png"/><Relationship Id="rId17" Type="http://schemas.openxmlformats.org/officeDocument/2006/relationships/image" Target="../media/image17.png"/><Relationship Id="rId16" Type="http://schemas.openxmlformats.org/officeDocument/2006/relationships/image" Target="../media/image16.png"/><Relationship Id="rId15" Type="http://schemas.openxmlformats.org/officeDocument/2006/relationships/image" Target="../media/image15.png"/><Relationship Id="rId14" Type="http://schemas.openxmlformats.org/officeDocument/2006/relationships/image" Target="../media/image14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342265</xdr:colOff>
      <xdr:row>3</xdr:row>
      <xdr:rowOff>53340</xdr:rowOff>
    </xdr:from>
    <xdr:to>
      <xdr:col>5</xdr:col>
      <xdr:colOff>861060</xdr:colOff>
      <xdr:row>3</xdr:row>
      <xdr:rowOff>506730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3206750" y="2225040"/>
          <a:ext cx="518795" cy="4533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386080</xdr:colOff>
      <xdr:row>4</xdr:row>
      <xdr:rowOff>71755</xdr:rowOff>
    </xdr:from>
    <xdr:to>
      <xdr:col>5</xdr:col>
      <xdr:colOff>762635</xdr:colOff>
      <xdr:row>4</xdr:row>
      <xdr:rowOff>438150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3250565" y="2802255"/>
          <a:ext cx="376555" cy="366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268605</xdr:colOff>
      <xdr:row>5</xdr:row>
      <xdr:rowOff>78740</xdr:rowOff>
    </xdr:from>
    <xdr:to>
      <xdr:col>5</xdr:col>
      <xdr:colOff>875030</xdr:colOff>
      <xdr:row>5</xdr:row>
      <xdr:rowOff>474345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3133090" y="3368040"/>
          <a:ext cx="606425" cy="39560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219710</xdr:colOff>
      <xdr:row>6</xdr:row>
      <xdr:rowOff>63500</xdr:rowOff>
    </xdr:from>
    <xdr:to>
      <xdr:col>6</xdr:col>
      <xdr:colOff>59055</xdr:colOff>
      <xdr:row>6</xdr:row>
      <xdr:rowOff>530225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3084195" y="3911600"/>
          <a:ext cx="779145" cy="4667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351790</xdr:colOff>
      <xdr:row>7</xdr:row>
      <xdr:rowOff>107315</xdr:rowOff>
    </xdr:from>
    <xdr:to>
      <xdr:col>5</xdr:col>
      <xdr:colOff>789940</xdr:colOff>
      <xdr:row>7</xdr:row>
      <xdr:rowOff>470535</xdr:rowOff>
    </xdr:to>
    <xdr:pic>
      <xdr:nvPicPr>
        <xdr:cNvPr id="6" name="图片 5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216275" y="4514215"/>
          <a:ext cx="438150" cy="36322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335915</xdr:colOff>
      <xdr:row>8</xdr:row>
      <xdr:rowOff>103505</xdr:rowOff>
    </xdr:from>
    <xdr:to>
      <xdr:col>5</xdr:col>
      <xdr:colOff>671195</xdr:colOff>
      <xdr:row>8</xdr:row>
      <xdr:rowOff>504190</xdr:rowOff>
    </xdr:to>
    <xdr:pic>
      <xdr:nvPicPr>
        <xdr:cNvPr id="7" name="图片 6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3200400" y="5069205"/>
          <a:ext cx="335280" cy="4006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293370</xdr:colOff>
      <xdr:row>9</xdr:row>
      <xdr:rowOff>46355</xdr:rowOff>
    </xdr:from>
    <xdr:to>
      <xdr:col>5</xdr:col>
      <xdr:colOff>595630</xdr:colOff>
      <xdr:row>9</xdr:row>
      <xdr:rowOff>436245</xdr:rowOff>
    </xdr:to>
    <xdr:pic>
      <xdr:nvPicPr>
        <xdr:cNvPr id="8" name="图片 7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3157855" y="5570855"/>
          <a:ext cx="302260" cy="3898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239395</xdr:colOff>
      <xdr:row>10</xdr:row>
      <xdr:rowOff>38100</xdr:rowOff>
    </xdr:from>
    <xdr:to>
      <xdr:col>5</xdr:col>
      <xdr:colOff>937895</xdr:colOff>
      <xdr:row>10</xdr:row>
      <xdr:rowOff>516255</xdr:rowOff>
    </xdr:to>
    <xdr:pic>
      <xdr:nvPicPr>
        <xdr:cNvPr id="9" name="图片 8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3103880" y="6121400"/>
          <a:ext cx="698500" cy="4781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179705</xdr:colOff>
      <xdr:row>11</xdr:row>
      <xdr:rowOff>63500</xdr:rowOff>
    </xdr:from>
    <xdr:to>
      <xdr:col>5</xdr:col>
      <xdr:colOff>854710</xdr:colOff>
      <xdr:row>11</xdr:row>
      <xdr:rowOff>534670</xdr:rowOff>
    </xdr:to>
    <xdr:pic>
      <xdr:nvPicPr>
        <xdr:cNvPr id="10" name="图片 9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3044190" y="6705600"/>
          <a:ext cx="675005" cy="4711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236855</xdr:colOff>
      <xdr:row>13</xdr:row>
      <xdr:rowOff>38100</xdr:rowOff>
    </xdr:from>
    <xdr:to>
      <xdr:col>5</xdr:col>
      <xdr:colOff>803910</xdr:colOff>
      <xdr:row>13</xdr:row>
      <xdr:rowOff>443230</xdr:rowOff>
    </xdr:to>
    <xdr:pic>
      <xdr:nvPicPr>
        <xdr:cNvPr id="11" name="图片 10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101340" y="7797800"/>
          <a:ext cx="567055" cy="4051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363855</xdr:colOff>
      <xdr:row>14</xdr:row>
      <xdr:rowOff>82550</xdr:rowOff>
    </xdr:from>
    <xdr:to>
      <xdr:col>5</xdr:col>
      <xdr:colOff>662305</xdr:colOff>
      <xdr:row>14</xdr:row>
      <xdr:rowOff>514350</xdr:rowOff>
    </xdr:to>
    <xdr:pic>
      <xdr:nvPicPr>
        <xdr:cNvPr id="12" name="图片 11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3228340" y="8401050"/>
          <a:ext cx="298450" cy="4318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313055</xdr:colOff>
      <xdr:row>15</xdr:row>
      <xdr:rowOff>101600</xdr:rowOff>
    </xdr:from>
    <xdr:to>
      <xdr:col>5</xdr:col>
      <xdr:colOff>630555</xdr:colOff>
      <xdr:row>15</xdr:row>
      <xdr:rowOff>501650</xdr:rowOff>
    </xdr:to>
    <xdr:pic>
      <xdr:nvPicPr>
        <xdr:cNvPr id="13" name="图片 12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3177540" y="8978900"/>
          <a:ext cx="317500" cy="4000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109855</xdr:colOff>
      <xdr:row>16</xdr:row>
      <xdr:rowOff>158750</xdr:rowOff>
    </xdr:from>
    <xdr:to>
      <xdr:col>6</xdr:col>
      <xdr:colOff>73025</xdr:colOff>
      <xdr:row>16</xdr:row>
      <xdr:rowOff>453390</xdr:rowOff>
    </xdr:to>
    <xdr:pic>
      <xdr:nvPicPr>
        <xdr:cNvPr id="14" name="图片 13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974340" y="9594850"/>
          <a:ext cx="902970" cy="2946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370205</xdr:colOff>
      <xdr:row>17</xdr:row>
      <xdr:rowOff>69850</xdr:rowOff>
    </xdr:from>
    <xdr:to>
      <xdr:col>5</xdr:col>
      <xdr:colOff>624205</xdr:colOff>
      <xdr:row>17</xdr:row>
      <xdr:rowOff>514350</xdr:rowOff>
    </xdr:to>
    <xdr:pic>
      <xdr:nvPicPr>
        <xdr:cNvPr id="15" name="图片 14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3234690" y="10064750"/>
          <a:ext cx="254000" cy="444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357505</xdr:colOff>
      <xdr:row>18</xdr:row>
      <xdr:rowOff>127000</xdr:rowOff>
    </xdr:from>
    <xdr:to>
      <xdr:col>5</xdr:col>
      <xdr:colOff>624205</xdr:colOff>
      <xdr:row>18</xdr:row>
      <xdr:rowOff>393700</xdr:rowOff>
    </xdr:to>
    <xdr:pic>
      <xdr:nvPicPr>
        <xdr:cNvPr id="16" name="图片 15"/>
        <xdr:cNvPicPr>
          <a:picLocks noChangeAspect="1"/>
        </xdr:cNvPicPr>
      </xdr:nvPicPr>
      <xdr:blipFill>
        <a:blip r:embed="rId15"/>
        <a:stretch>
          <a:fillRect/>
        </a:stretch>
      </xdr:blipFill>
      <xdr:spPr>
        <a:xfrm>
          <a:off x="3221990" y="10680700"/>
          <a:ext cx="266700" cy="2667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109855</xdr:colOff>
      <xdr:row>19</xdr:row>
      <xdr:rowOff>101600</xdr:rowOff>
    </xdr:from>
    <xdr:to>
      <xdr:col>5</xdr:col>
      <xdr:colOff>694055</xdr:colOff>
      <xdr:row>19</xdr:row>
      <xdr:rowOff>361950</xdr:rowOff>
    </xdr:to>
    <xdr:pic>
      <xdr:nvPicPr>
        <xdr:cNvPr id="17" name="图片 16"/>
        <xdr:cNvPicPr>
          <a:picLocks noChangeAspect="1"/>
        </xdr:cNvPicPr>
      </xdr:nvPicPr>
      <xdr:blipFill>
        <a:blip r:embed="rId16"/>
        <a:stretch>
          <a:fillRect/>
        </a:stretch>
      </xdr:blipFill>
      <xdr:spPr>
        <a:xfrm>
          <a:off x="2974340" y="11214100"/>
          <a:ext cx="584200" cy="2603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243205</xdr:colOff>
      <xdr:row>20</xdr:row>
      <xdr:rowOff>101600</xdr:rowOff>
    </xdr:from>
    <xdr:to>
      <xdr:col>5</xdr:col>
      <xdr:colOff>871220</xdr:colOff>
      <xdr:row>20</xdr:row>
      <xdr:rowOff>400050</xdr:rowOff>
    </xdr:to>
    <xdr:pic>
      <xdr:nvPicPr>
        <xdr:cNvPr id="18" name="图片 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3107690" y="11772900"/>
          <a:ext cx="628015" cy="2984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176530</xdr:colOff>
      <xdr:row>21</xdr:row>
      <xdr:rowOff>24765</xdr:rowOff>
    </xdr:from>
    <xdr:to>
      <xdr:col>5</xdr:col>
      <xdr:colOff>876300</xdr:colOff>
      <xdr:row>22</xdr:row>
      <xdr:rowOff>25400</xdr:rowOff>
    </xdr:to>
    <xdr:pic>
      <xdr:nvPicPr>
        <xdr:cNvPr id="19" name="图片 18"/>
        <xdr:cNvPicPr>
          <a:picLocks noChangeAspect="1"/>
        </xdr:cNvPicPr>
      </xdr:nvPicPr>
      <xdr:blipFill>
        <a:blip r:embed="rId18"/>
        <a:stretch>
          <a:fillRect/>
        </a:stretch>
      </xdr:blipFill>
      <xdr:spPr>
        <a:xfrm>
          <a:off x="3041015" y="12254865"/>
          <a:ext cx="699770" cy="5594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5</xdr:col>
      <xdr:colOff>192405</xdr:colOff>
      <xdr:row>12</xdr:row>
      <xdr:rowOff>63500</xdr:rowOff>
    </xdr:from>
    <xdr:to>
      <xdr:col>5</xdr:col>
      <xdr:colOff>759460</xdr:colOff>
      <xdr:row>12</xdr:row>
      <xdr:rowOff>468630</xdr:rowOff>
    </xdr:to>
    <xdr:pic>
      <xdr:nvPicPr>
        <xdr:cNvPr id="20" name="图片 1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056890" y="7264400"/>
          <a:ext cx="567055" cy="40513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detail.1688.com/offer/788583236989.html?spm=a26352.13672862.offerlist.5.5bd41e62vFYPzu&amp;offerId=788583236989&amp;sortType=&amp;pageId=&amp;abBizDataType=cbuOffer&amp;trace_log=normal&amp;uuid=a54a42ae9ebe44e8a1d10f0f7ddc722d&amp;skuId=5380221472226&amp;forcePC=1779687491818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O22"/>
  <sheetViews>
    <sheetView tabSelected="1" workbookViewId="0">
      <pane xSplit="9" ySplit="2" topLeftCell="J12" activePane="bottomRight" state="frozen"/>
      <selection/>
      <selection pane="topRight"/>
      <selection pane="bottomLeft"/>
      <selection pane="bottomRight" activeCell="J3" sqref="J3"/>
    </sheetView>
  </sheetViews>
  <sheetFormatPr defaultColWidth="9" defaultRowHeight="14"/>
  <cols>
    <col min="1" max="1" width="3.63636363636364" style="2" customWidth="1"/>
    <col min="2" max="2" width="5.25454545454545" style="2" customWidth="1"/>
    <col min="3" max="3" width="13" style="3" customWidth="1"/>
    <col min="4" max="4" width="5.27272727272727" style="4" customWidth="1"/>
    <col min="5" max="5" width="13.8454545454545" style="5" customWidth="1"/>
    <col min="6" max="6" width="13.4545454545455" style="5" customWidth="1"/>
    <col min="7" max="7" width="13.8181818181818" style="5" customWidth="1"/>
    <col min="8" max="8" width="13.5454545454545" style="6" customWidth="1"/>
    <col min="9" max="9" width="5.5" style="3" customWidth="1"/>
    <col min="10" max="10" width="9.54545454545454" style="7" customWidth="1"/>
    <col min="11" max="11" width="11.3636363636364" style="7" customWidth="1"/>
    <col min="12" max="12" width="7.90909090909091" style="3" customWidth="1"/>
    <col min="13" max="13" width="5" style="3" customWidth="1"/>
    <col min="14" max="14" width="4.55454545454545" style="3" customWidth="1"/>
    <col min="15" max="17" width="4.62727272727273" style="3" customWidth="1"/>
    <col min="18" max="18" width="7.12727272727273" style="3" customWidth="1"/>
    <col min="19" max="19" width="5.54545454545455" style="8" customWidth="1"/>
    <col min="20" max="20" width="6" style="3" customWidth="1"/>
    <col min="21" max="21" width="8" style="3" customWidth="1"/>
    <col min="22" max="28" width="3.36363636363636" style="3" customWidth="1"/>
    <col min="29" max="29" width="5.72727272727273" style="3" customWidth="1"/>
    <col min="30" max="30" width="5.72727272727273" style="9" customWidth="1"/>
    <col min="31" max="41" width="3.26363636363636" style="3" customWidth="1"/>
    <col min="42" max="42" width="9.62727272727273" style="10" customWidth="1"/>
    <col min="43" max="43" width="3.26363636363636" style="3" customWidth="1"/>
    <col min="44" max="44" width="4.37272727272727" style="3" customWidth="1"/>
    <col min="45" max="45" width="3.26363636363636" style="3" customWidth="1"/>
    <col min="46" max="46" width="9.25454545454545" style="3" customWidth="1"/>
    <col min="47" max="47" width="7" style="3" customWidth="1"/>
    <col min="48" max="48" width="8.12727272727273" style="3" customWidth="1"/>
    <col min="49" max="60" width="3.26363636363636" style="3" customWidth="1"/>
    <col min="61" max="61" width="6.87272727272727" style="3" customWidth="1"/>
    <col min="62" max="62" width="3.26363636363636" style="3" customWidth="1"/>
    <col min="63" max="63" width="5.62727272727273" style="3" customWidth="1"/>
    <col min="64" max="64" width="3.26363636363636" style="3" customWidth="1"/>
    <col min="65" max="65" width="5.90909090909091" style="3" customWidth="1"/>
    <col min="66" max="66" width="7.5" style="11" customWidth="1"/>
    <col min="67" max="78" width="4" style="3" customWidth="1"/>
    <col min="79" max="79" width="5.75454545454545" style="3" customWidth="1"/>
    <col min="80" max="82" width="4" style="3" customWidth="1"/>
    <col min="83" max="83" width="4.90909090909091" style="3" customWidth="1"/>
    <col min="84" max="84" width="4.90909090909091" style="11" customWidth="1"/>
    <col min="85" max="85" width="6.12727272727273" style="11" customWidth="1"/>
    <col min="86" max="86" width="5.75454545454545" style="11" customWidth="1"/>
    <col min="87" max="90" width="4.44545454545455" style="3" customWidth="1"/>
    <col min="91" max="91" width="6" style="3" customWidth="1"/>
    <col min="92" max="92" width="8.36363636363636" style="3" customWidth="1"/>
    <col min="93" max="93" width="15.1818181818182" style="3" customWidth="1"/>
    <col min="94" max="94" width="18.8181818181818" style="3" customWidth="1"/>
    <col min="95" max="16364" width="9" style="3" customWidth="1"/>
    <col min="16365" max="16384" width="9" style="3"/>
  </cols>
  <sheetData>
    <row r="1" spans="1:93">
      <c r="A1" s="12" t="s">
        <v>0</v>
      </c>
      <c r="B1" s="13"/>
      <c r="C1" s="13"/>
      <c r="D1" s="13"/>
      <c r="E1" s="13"/>
      <c r="F1" s="13"/>
      <c r="G1" s="13"/>
      <c r="I1" s="13"/>
      <c r="J1" s="14"/>
      <c r="K1" s="14"/>
      <c r="L1" s="15" t="s">
        <v>1</v>
      </c>
      <c r="M1" s="13"/>
      <c r="N1" s="13"/>
      <c r="O1" s="13"/>
      <c r="P1" s="13"/>
      <c r="Q1" s="13"/>
      <c r="R1" s="15"/>
      <c r="S1" s="16" t="s">
        <v>2</v>
      </c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5" t="s">
        <v>3</v>
      </c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7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2" t="s">
        <v>4</v>
      </c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8"/>
      <c r="CG1" s="18"/>
      <c r="CH1" s="18"/>
      <c r="CI1" s="15" t="s">
        <v>5</v>
      </c>
      <c r="CJ1" s="13"/>
      <c r="CK1" s="13"/>
      <c r="CL1" s="13"/>
      <c r="CM1" s="15"/>
      <c r="CN1" s="19" t="s">
        <v>6</v>
      </c>
      <c r="CO1" s="12" t="s">
        <v>7</v>
      </c>
    </row>
    <row r="2" ht="113" customHeight="1" spans="1:93">
      <c r="A2" s="20" t="s">
        <v>8</v>
      </c>
      <c r="B2" s="20" t="s">
        <v>9</v>
      </c>
      <c r="C2" s="21" t="s">
        <v>10</v>
      </c>
      <c r="D2" s="22" t="s">
        <v>11</v>
      </c>
      <c r="E2" s="21" t="s">
        <v>12</v>
      </c>
      <c r="F2" s="21" t="s">
        <v>13</v>
      </c>
      <c r="G2" s="21" t="s">
        <v>7</v>
      </c>
      <c r="H2" s="23" t="s">
        <v>14</v>
      </c>
      <c r="I2" s="24" t="s">
        <v>15</v>
      </c>
      <c r="J2" s="25" t="s">
        <v>16</v>
      </c>
      <c r="K2" s="14" t="s">
        <v>17</v>
      </c>
      <c r="L2" s="15" t="s">
        <v>18</v>
      </c>
      <c r="M2" s="15" t="s">
        <v>19</v>
      </c>
      <c r="N2" s="15" t="s">
        <v>20</v>
      </c>
      <c r="O2" s="15" t="s">
        <v>21</v>
      </c>
      <c r="P2" s="15" t="s">
        <v>22</v>
      </c>
      <c r="Q2" s="19" t="s">
        <v>23</v>
      </c>
      <c r="R2" s="26" t="s">
        <v>24</v>
      </c>
      <c r="S2" s="27" t="s">
        <v>25</v>
      </c>
      <c r="T2" s="28" t="s">
        <v>26</v>
      </c>
      <c r="U2" s="28" t="s">
        <v>27</v>
      </c>
      <c r="V2" s="29" t="s">
        <v>28</v>
      </c>
      <c r="W2" s="29" t="s">
        <v>29</v>
      </c>
      <c r="X2" s="29" t="s">
        <v>27</v>
      </c>
      <c r="Y2" s="30" t="s">
        <v>30</v>
      </c>
      <c r="Z2" s="30" t="s">
        <v>16</v>
      </c>
      <c r="AA2" s="30" t="s">
        <v>31</v>
      </c>
      <c r="AB2" s="30" t="s">
        <v>32</v>
      </c>
      <c r="AC2" s="31" t="s">
        <v>33</v>
      </c>
      <c r="AD2" s="32" t="s">
        <v>34</v>
      </c>
      <c r="AE2" s="33" t="s">
        <v>35</v>
      </c>
      <c r="AF2" s="33" t="s">
        <v>36</v>
      </c>
      <c r="AG2" s="33" t="s">
        <v>37</v>
      </c>
      <c r="AH2" s="34" t="s">
        <v>38</v>
      </c>
      <c r="AI2" s="34" t="s">
        <v>39</v>
      </c>
      <c r="AJ2" s="34" t="s">
        <v>40</v>
      </c>
      <c r="AK2" s="35" t="s">
        <v>41</v>
      </c>
      <c r="AL2" s="35" t="s">
        <v>42</v>
      </c>
      <c r="AM2" s="35" t="s">
        <v>43</v>
      </c>
      <c r="AN2" s="36" t="s">
        <v>44</v>
      </c>
      <c r="AO2" s="36" t="s">
        <v>45</v>
      </c>
      <c r="AP2" s="37" t="s">
        <v>46</v>
      </c>
      <c r="AQ2" s="38" t="s">
        <v>47</v>
      </c>
      <c r="AR2" s="38" t="s">
        <v>48</v>
      </c>
      <c r="AS2" s="38" t="s">
        <v>49</v>
      </c>
      <c r="AT2" s="39" t="s">
        <v>50</v>
      </c>
      <c r="AU2" s="39" t="s">
        <v>51</v>
      </c>
      <c r="AV2" s="39" t="s">
        <v>52</v>
      </c>
      <c r="AW2" s="40" t="s">
        <v>53</v>
      </c>
      <c r="AX2" s="40" t="s">
        <v>54</v>
      </c>
      <c r="AY2" s="40" t="s">
        <v>55</v>
      </c>
      <c r="AZ2" s="41" t="s">
        <v>56</v>
      </c>
      <c r="BA2" s="41" t="s">
        <v>57</v>
      </c>
      <c r="BB2" s="41" t="s">
        <v>58</v>
      </c>
      <c r="BC2" s="39" t="s">
        <v>59</v>
      </c>
      <c r="BD2" s="39" t="s">
        <v>60</v>
      </c>
      <c r="BE2" s="39" t="s">
        <v>61</v>
      </c>
      <c r="BF2" s="42" t="s">
        <v>62</v>
      </c>
      <c r="BG2" s="42" t="s">
        <v>63</v>
      </c>
      <c r="BH2" s="42" t="s">
        <v>64</v>
      </c>
      <c r="BI2" s="34" t="s">
        <v>30</v>
      </c>
      <c r="BJ2" s="34" t="s">
        <v>65</v>
      </c>
      <c r="BK2" s="34" t="s">
        <v>31</v>
      </c>
      <c r="BL2" s="34" t="s">
        <v>32</v>
      </c>
      <c r="BM2" s="31" t="s">
        <v>66</v>
      </c>
      <c r="BN2" s="26" t="s">
        <v>67</v>
      </c>
      <c r="BO2" s="43" t="s">
        <v>68</v>
      </c>
      <c r="BP2" s="43" t="s">
        <v>69</v>
      </c>
      <c r="BQ2" s="43" t="s">
        <v>70</v>
      </c>
      <c r="BR2" s="44" t="s">
        <v>71</v>
      </c>
      <c r="BS2" s="44" t="s">
        <v>72</v>
      </c>
      <c r="BT2" s="44" t="s">
        <v>73</v>
      </c>
      <c r="BU2" s="45" t="s">
        <v>74</v>
      </c>
      <c r="BV2" s="45" t="s">
        <v>75</v>
      </c>
      <c r="BW2" s="45" t="s">
        <v>76</v>
      </c>
      <c r="BX2" s="36" t="s">
        <v>77</v>
      </c>
      <c r="BY2" s="36" t="s">
        <v>78</v>
      </c>
      <c r="BZ2" s="36" t="s">
        <v>79</v>
      </c>
      <c r="CA2" s="46" t="s">
        <v>80</v>
      </c>
      <c r="CB2" s="46" t="s">
        <v>16</v>
      </c>
      <c r="CC2" s="46" t="s">
        <v>31</v>
      </c>
      <c r="CD2" s="46" t="s">
        <v>81</v>
      </c>
      <c r="CE2" s="19" t="s">
        <v>66</v>
      </c>
      <c r="CF2" s="26" t="s">
        <v>82</v>
      </c>
      <c r="CG2" s="47" t="s">
        <v>83</v>
      </c>
      <c r="CH2" s="48" t="s">
        <v>84</v>
      </c>
      <c r="CI2" s="19" t="s">
        <v>85</v>
      </c>
      <c r="CJ2" s="19" t="s">
        <v>86</v>
      </c>
      <c r="CK2" s="19" t="s">
        <v>87</v>
      </c>
      <c r="CL2" s="19" t="s">
        <v>88</v>
      </c>
      <c r="CM2" s="49" t="s">
        <v>89</v>
      </c>
      <c r="CN2" s="13"/>
      <c r="CO2" s="13"/>
    </row>
    <row r="3" ht="44" customHeight="1" spans="1:93">
      <c r="A3" s="13">
        <v>1</v>
      </c>
      <c r="B3" s="13">
        <v>0</v>
      </c>
      <c r="C3" s="50" t="s">
        <v>90</v>
      </c>
      <c r="D3" s="13" t="s">
        <v>91</v>
      </c>
      <c r="E3" s="13" t="s">
        <v>92</v>
      </c>
      <c r="H3" s="6" t="s">
        <v>93</v>
      </c>
      <c r="I3" s="13">
        <v>1</v>
      </c>
      <c r="J3" s="13">
        <f>K4+K12+K13+SUM(K17:K22)</f>
        <v>412.35056</v>
      </c>
      <c r="K3" s="13"/>
      <c r="O3" s="13">
        <v>6.5</v>
      </c>
    </row>
    <row r="4" ht="44" customHeight="1" spans="1:93">
      <c r="A4" s="13">
        <v>2</v>
      </c>
      <c r="B4" s="13">
        <v>1</v>
      </c>
      <c r="C4" s="51">
        <v>9048151</v>
      </c>
      <c r="D4" s="13" t="s">
        <v>91</v>
      </c>
      <c r="E4" s="13" t="s">
        <v>94</v>
      </c>
      <c r="H4" s="6" t="s">
        <v>95</v>
      </c>
      <c r="I4" s="13">
        <v>1</v>
      </c>
      <c r="J4" s="13">
        <f>SUM(K5:K11)+CN4</f>
        <v>225.8932</v>
      </c>
      <c r="K4" s="52">
        <f>J4*I4</f>
        <v>225.8932</v>
      </c>
      <c r="O4" s="13">
        <v>6.01</v>
      </c>
      <c r="BF4" s="3">
        <v>40</v>
      </c>
      <c r="BG4" s="3">
        <v>0.38</v>
      </c>
      <c r="BH4" s="3">
        <f>BF4*BG4</f>
        <v>15.2</v>
      </c>
      <c r="BI4" s="3" t="s">
        <v>96</v>
      </c>
      <c r="BJ4" s="1">
        <v>30</v>
      </c>
      <c r="BK4" s="1">
        <v>0.2</v>
      </c>
      <c r="BL4" s="1">
        <f>BJ4*BK4</f>
        <v>6</v>
      </c>
      <c r="BM4" s="13">
        <f t="shared" ref="BM4:BM8" si="0">SUM(BH4)</f>
        <v>15.2</v>
      </c>
      <c r="BN4" s="13"/>
      <c r="CA4" s="3" t="s">
        <v>97</v>
      </c>
      <c r="CB4" s="3">
        <v>35</v>
      </c>
      <c r="CC4" s="3">
        <v>0.43</v>
      </c>
      <c r="CD4" s="3">
        <f>CB4*CC4</f>
        <v>15.05</v>
      </c>
      <c r="CE4" s="13">
        <f>SUM(CD4)</f>
        <v>15.05</v>
      </c>
      <c r="CF4" s="13"/>
      <c r="CG4" s="17">
        <f t="shared" ref="CG4:CG8" si="1">SUM(CE4+BM4+AC4)</f>
        <v>30.25</v>
      </c>
      <c r="CH4" s="17">
        <f t="shared" ref="CH4:CH8" si="2">CG4+Q4</f>
        <v>30.25</v>
      </c>
      <c r="CI4" s="17">
        <v>4</v>
      </c>
      <c r="CJ4" s="17">
        <v>2.6</v>
      </c>
      <c r="CK4" s="17">
        <f t="shared" ref="CK4:CK8" si="3">SUM(CG4:CJ4)*0.05</f>
        <v>3.355</v>
      </c>
      <c r="CL4" s="17">
        <f t="shared" ref="CL4:CL8" si="4">SUM(CG4:CK4)*0.1</f>
        <v>7.0455</v>
      </c>
      <c r="CM4" s="13"/>
      <c r="CN4" s="3">
        <f>CL4+CK4+CH4+CJ4+CI4</f>
        <v>47.2505</v>
      </c>
    </row>
    <row r="5" s="1" customFormat="1" ht="44" customHeight="1" spans="1:93">
      <c r="A5" s="52">
        <v>3</v>
      </c>
      <c r="B5" s="52">
        <v>2</v>
      </c>
      <c r="C5" s="53" t="s">
        <v>98</v>
      </c>
      <c r="D5" s="52" t="s">
        <v>99</v>
      </c>
      <c r="E5" s="52" t="s">
        <v>100</v>
      </c>
      <c r="F5" s="54"/>
      <c r="G5" s="54"/>
      <c r="H5" s="55" t="s">
        <v>101</v>
      </c>
      <c r="I5" s="52">
        <v>1</v>
      </c>
      <c r="J5" s="56">
        <f>CN5</f>
        <v>56.541</v>
      </c>
      <c r="K5" s="52">
        <f t="shared" ref="K3:K22" si="5">J5*I5</f>
        <v>56.541</v>
      </c>
      <c r="L5" s="52" t="s">
        <v>102</v>
      </c>
      <c r="M5" s="52" t="s">
        <v>103</v>
      </c>
      <c r="N5" s="3">
        <v>2.73</v>
      </c>
      <c r="O5" s="3">
        <v>2.5</v>
      </c>
      <c r="P5" s="3">
        <v>15</v>
      </c>
      <c r="Q5" s="3">
        <f>N5*P5</f>
        <v>40.95</v>
      </c>
      <c r="R5" s="3">
        <f>Q5/CN5</f>
        <v>0.724253196795246</v>
      </c>
      <c r="S5" s="8">
        <v>1.5</v>
      </c>
      <c r="T5" s="3">
        <v>2.5</v>
      </c>
      <c r="U5" s="3">
        <f>T5*S5</f>
        <v>3.75</v>
      </c>
      <c r="V5" s="3"/>
      <c r="W5" s="3"/>
      <c r="X5" s="3"/>
      <c r="Y5" s="3"/>
      <c r="Z5" s="3"/>
      <c r="AA5" s="3"/>
      <c r="AB5" s="3"/>
      <c r="AC5" s="3">
        <f t="shared" ref="AC5:AC8" si="6">SUM(U5:AB5)</f>
        <v>3.75</v>
      </c>
      <c r="AD5" s="3"/>
      <c r="AE5" s="3"/>
      <c r="AF5" s="3"/>
      <c r="AG5" s="3"/>
      <c r="AH5" s="3"/>
      <c r="AI5" s="3"/>
      <c r="AJ5" s="3"/>
      <c r="AK5" s="3"/>
      <c r="AL5" s="3"/>
      <c r="AM5" s="3"/>
      <c r="AN5" s="3">
        <v>0.5</v>
      </c>
      <c r="AO5" s="3" t="s">
        <v>104</v>
      </c>
      <c r="AP5" s="3">
        <f>AN5*AO5</f>
        <v>1</v>
      </c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13">
        <f t="shared" si="0"/>
        <v>0</v>
      </c>
      <c r="BN5" s="3"/>
      <c r="BO5" s="3"/>
      <c r="BP5" s="3"/>
      <c r="BQ5" s="3"/>
      <c r="BR5" s="3"/>
      <c r="BS5" s="3"/>
      <c r="BT5" s="3"/>
      <c r="BU5" s="3"/>
      <c r="BV5" s="3"/>
      <c r="BW5" s="3"/>
      <c r="BX5" s="3"/>
      <c r="BY5" s="3"/>
      <c r="BZ5" s="3"/>
      <c r="CA5" s="3"/>
      <c r="CB5" s="3"/>
      <c r="CC5" s="3"/>
      <c r="CD5" s="3"/>
      <c r="CE5" s="3"/>
      <c r="CF5" s="3"/>
      <c r="CG5" s="17">
        <f t="shared" si="1"/>
        <v>3.75</v>
      </c>
      <c r="CH5" s="3">
        <f>CG5+Q5+AC5</f>
        <v>48.45</v>
      </c>
      <c r="CI5" s="3"/>
      <c r="CJ5" s="3"/>
      <c r="CK5" s="3">
        <f t="shared" si="3"/>
        <v>2.61</v>
      </c>
      <c r="CL5" s="3">
        <f t="shared" si="4"/>
        <v>5.481</v>
      </c>
      <c r="CM5" s="3"/>
      <c r="CN5" s="3">
        <f t="shared" ref="CN5:CN8" si="7">CL5+CK5+CH5</f>
        <v>56.541</v>
      </c>
      <c r="CO5" s="3"/>
    </row>
    <row r="6" s="1" customFormat="1" ht="44" customHeight="1" spans="1:93">
      <c r="A6" s="52">
        <v>4</v>
      </c>
      <c r="B6" s="52">
        <v>2</v>
      </c>
      <c r="C6" s="53" t="s">
        <v>105</v>
      </c>
      <c r="D6" s="52" t="s">
        <v>99</v>
      </c>
      <c r="E6" s="52" t="s">
        <v>100</v>
      </c>
      <c r="F6" s="54"/>
      <c r="G6" s="54"/>
      <c r="H6" s="55" t="s">
        <v>106</v>
      </c>
      <c r="I6" s="52">
        <v>1</v>
      </c>
      <c r="J6" s="56">
        <f t="shared" ref="J6:J12" si="8">CN6</f>
        <v>16.08045</v>
      </c>
      <c r="K6" s="52">
        <f t="shared" si="5"/>
        <v>16.08045</v>
      </c>
      <c r="L6" s="52" t="s">
        <v>102</v>
      </c>
      <c r="M6" s="52" t="s">
        <v>103</v>
      </c>
      <c r="N6" s="3">
        <v>0.8</v>
      </c>
      <c r="O6" s="3">
        <v>0.8</v>
      </c>
      <c r="P6" s="3">
        <v>15</v>
      </c>
      <c r="Q6" s="3">
        <f t="shared" ref="Q5:Q8" si="9">N6*P6</f>
        <v>12</v>
      </c>
      <c r="R6" s="3">
        <f>Q6/CN6</f>
        <v>0.746247772916803</v>
      </c>
      <c r="S6" s="8">
        <v>1.5</v>
      </c>
      <c r="T6" s="3">
        <v>1.13</v>
      </c>
      <c r="U6" s="3">
        <f>T6*S6</f>
        <v>1.695</v>
      </c>
      <c r="V6" s="3"/>
      <c r="W6" s="3"/>
      <c r="X6" s="3"/>
      <c r="Y6" s="3"/>
      <c r="Z6" s="3"/>
      <c r="AA6" s="3"/>
      <c r="AB6" s="3"/>
      <c r="AC6" s="3">
        <f t="shared" si="6"/>
        <v>1.695</v>
      </c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13">
        <f t="shared" si="0"/>
        <v>0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17">
        <f t="shared" si="1"/>
        <v>1.695</v>
      </c>
      <c r="CH6" s="3">
        <f t="shared" si="2"/>
        <v>13.695</v>
      </c>
      <c r="CI6" s="3"/>
      <c r="CJ6" s="3"/>
      <c r="CK6" s="3">
        <f t="shared" si="3"/>
        <v>0.7695</v>
      </c>
      <c r="CL6" s="3">
        <f t="shared" si="4"/>
        <v>1.61595</v>
      </c>
      <c r="CM6" s="3"/>
      <c r="CN6" s="3">
        <f t="shared" si="7"/>
        <v>16.08045</v>
      </c>
      <c r="CO6" s="3"/>
    </row>
    <row r="7" s="1" customFormat="1" ht="44" customHeight="1" spans="1:93">
      <c r="A7" s="52">
        <v>5</v>
      </c>
      <c r="B7" s="52">
        <v>2</v>
      </c>
      <c r="C7" s="53" t="s">
        <v>107</v>
      </c>
      <c r="D7" s="52" t="s">
        <v>99</v>
      </c>
      <c r="E7" s="52" t="s">
        <v>100</v>
      </c>
      <c r="F7" s="54"/>
      <c r="G7" s="54"/>
      <c r="H7" s="55" t="s">
        <v>108</v>
      </c>
      <c r="I7" s="52">
        <v>1</v>
      </c>
      <c r="J7" s="56">
        <f t="shared" si="8"/>
        <v>33.14175</v>
      </c>
      <c r="K7" s="52">
        <f t="shared" si="5"/>
        <v>33.14175</v>
      </c>
      <c r="L7" s="52" t="s">
        <v>102</v>
      </c>
      <c r="M7" s="52" t="s">
        <v>103</v>
      </c>
      <c r="N7" s="3">
        <v>1.55</v>
      </c>
      <c r="O7" s="3">
        <v>0.8</v>
      </c>
      <c r="P7" s="3">
        <v>15</v>
      </c>
      <c r="Q7" s="3">
        <f t="shared" si="9"/>
        <v>23.25</v>
      </c>
      <c r="R7" s="3">
        <f>Q7/CN7</f>
        <v>0.701532055488923</v>
      </c>
      <c r="S7" s="8">
        <v>3</v>
      </c>
      <c r="T7" s="3">
        <v>1.6</v>
      </c>
      <c r="U7" s="3">
        <f>T7*S7</f>
        <v>4.8</v>
      </c>
      <c r="V7" s="3"/>
      <c r="W7" s="3"/>
      <c r="X7" s="3"/>
      <c r="Y7" s="3"/>
      <c r="Z7" s="3"/>
      <c r="AA7" s="3"/>
      <c r="AB7" s="3"/>
      <c r="AC7" s="3">
        <f t="shared" si="6"/>
        <v>4.8</v>
      </c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13">
        <f t="shared" si="0"/>
        <v>0</v>
      </c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17">
        <f t="shared" si="1"/>
        <v>4.8</v>
      </c>
      <c r="CH7" s="3">
        <f t="shared" si="2"/>
        <v>28.05</v>
      </c>
      <c r="CI7" s="3"/>
      <c r="CJ7" s="3"/>
      <c r="CK7" s="3">
        <f t="shared" si="3"/>
        <v>1.6425</v>
      </c>
      <c r="CL7" s="3">
        <f t="shared" si="4"/>
        <v>3.44925</v>
      </c>
      <c r="CM7" s="3"/>
      <c r="CN7" s="3">
        <f t="shared" si="7"/>
        <v>33.14175</v>
      </c>
      <c r="CO7" s="3"/>
    </row>
    <row r="8" s="1" customFormat="1" ht="44" customHeight="1" spans="1:93">
      <c r="A8" s="52">
        <v>6</v>
      </c>
      <c r="B8" s="52">
        <v>2</v>
      </c>
      <c r="C8" s="53" t="s">
        <v>109</v>
      </c>
      <c r="D8" s="52" t="s">
        <v>99</v>
      </c>
      <c r="E8" s="52" t="s">
        <v>100</v>
      </c>
      <c r="F8" s="54"/>
      <c r="G8" s="54"/>
      <c r="H8" s="55" t="s">
        <v>110</v>
      </c>
      <c r="I8" s="52">
        <v>4</v>
      </c>
      <c r="J8" s="56">
        <f t="shared" si="8"/>
        <v>1.1439</v>
      </c>
      <c r="K8" s="52">
        <f t="shared" si="5"/>
        <v>4.5756</v>
      </c>
      <c r="L8" s="52" t="s">
        <v>102</v>
      </c>
      <c r="M8" s="52" t="s">
        <v>103</v>
      </c>
      <c r="N8" s="3">
        <v>0.032</v>
      </c>
      <c r="O8" s="3">
        <v>0.3</v>
      </c>
      <c r="P8" s="3">
        <v>15</v>
      </c>
      <c r="Q8" s="3">
        <f t="shared" si="9"/>
        <v>0.48</v>
      </c>
      <c r="R8" s="3">
        <f>Q8/CN8</f>
        <v>0.4196170993968</v>
      </c>
      <c r="S8" s="8">
        <v>1.5</v>
      </c>
      <c r="T8" s="3">
        <v>0.3</v>
      </c>
      <c r="U8" s="3">
        <f t="shared" ref="U8:U12" si="10">T8*S8</f>
        <v>0.45</v>
      </c>
      <c r="V8" s="3"/>
      <c r="W8" s="3"/>
      <c r="X8" s="3"/>
      <c r="Y8" s="3"/>
      <c r="Z8" s="3"/>
      <c r="AA8" s="3"/>
      <c r="AB8" s="3"/>
      <c r="AC8" s="3">
        <f t="shared" si="6"/>
        <v>0.45</v>
      </c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13">
        <f t="shared" si="0"/>
        <v>0</v>
      </c>
      <c r="BN8" s="3"/>
      <c r="BO8" s="3"/>
      <c r="BP8" s="3"/>
      <c r="BQ8" s="3"/>
      <c r="BR8" s="3"/>
      <c r="BS8" s="3"/>
      <c r="BT8" s="3"/>
      <c r="BU8" s="3"/>
      <c r="BV8" s="3"/>
      <c r="BW8" s="3"/>
      <c r="BX8" s="3"/>
      <c r="BY8" s="3"/>
      <c r="BZ8" s="3"/>
      <c r="CA8" s="3"/>
      <c r="CB8" s="3"/>
      <c r="CC8" s="3"/>
      <c r="CD8" s="3"/>
      <c r="CE8" s="3"/>
      <c r="CF8" s="3"/>
      <c r="CG8" s="17">
        <f t="shared" si="1"/>
        <v>0.45</v>
      </c>
      <c r="CH8" s="3">
        <f t="shared" si="2"/>
        <v>0.93</v>
      </c>
      <c r="CI8" s="3"/>
      <c r="CJ8" s="3"/>
      <c r="CK8" s="3">
        <f t="shared" si="3"/>
        <v>0.069</v>
      </c>
      <c r="CL8" s="3">
        <f t="shared" si="4"/>
        <v>0.1449</v>
      </c>
      <c r="CM8" s="3"/>
      <c r="CN8" s="3">
        <f t="shared" si="7"/>
        <v>1.1439</v>
      </c>
      <c r="CO8" s="3"/>
    </row>
    <row r="9" s="1" customFormat="1" ht="44" customHeight="1" spans="1:93">
      <c r="A9" s="52">
        <v>7</v>
      </c>
      <c r="B9" s="52">
        <v>2</v>
      </c>
      <c r="C9" s="53" t="s">
        <v>111</v>
      </c>
      <c r="D9" s="52" t="s">
        <v>99</v>
      </c>
      <c r="E9" s="52" t="s">
        <v>112</v>
      </c>
      <c r="F9" s="54"/>
      <c r="G9" s="54"/>
      <c r="H9" s="55" t="s">
        <v>113</v>
      </c>
      <c r="I9" s="52">
        <v>4</v>
      </c>
      <c r="J9" s="52">
        <v>1</v>
      </c>
      <c r="K9" s="52">
        <f t="shared" si="5"/>
        <v>4</v>
      </c>
      <c r="N9" s="3"/>
      <c r="O9" s="3">
        <v>0.02</v>
      </c>
      <c r="P9" s="3"/>
      <c r="Q9" s="3"/>
      <c r="R9" s="3"/>
      <c r="S9" s="8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  <c r="BD9" s="3"/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  <c r="CN9" s="3">
        <f>CL9+CK9+CH9+Q9</f>
        <v>0</v>
      </c>
      <c r="CO9" s="3"/>
    </row>
    <row r="10" s="1" customFormat="1" ht="44" customHeight="1" spans="1:93">
      <c r="A10" s="52">
        <v>8</v>
      </c>
      <c r="B10" s="52">
        <v>2</v>
      </c>
      <c r="C10" s="53" t="s">
        <v>114</v>
      </c>
      <c r="D10" s="52" t="s">
        <v>99</v>
      </c>
      <c r="E10" s="52" t="s">
        <v>112</v>
      </c>
      <c r="F10" s="54"/>
      <c r="G10" s="54"/>
      <c r="H10" s="55" t="s">
        <v>115</v>
      </c>
      <c r="I10" s="52">
        <v>4</v>
      </c>
      <c r="J10" s="52">
        <v>0.4</v>
      </c>
      <c r="K10" s="52">
        <f t="shared" si="5"/>
        <v>1.6</v>
      </c>
      <c r="N10" s="3"/>
      <c r="O10" s="3">
        <v>0.01</v>
      </c>
      <c r="P10" s="3"/>
      <c r="Q10" s="3"/>
      <c r="R10" s="3"/>
      <c r="S10" s="8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  <c r="CA10" s="3"/>
      <c r="CB10" s="3"/>
      <c r="CC10" s="3"/>
      <c r="CD10" s="3"/>
      <c r="CE10" s="3"/>
      <c r="CF10" s="3"/>
      <c r="CG10" s="3"/>
      <c r="CH10" s="3"/>
      <c r="CI10" s="3"/>
      <c r="CJ10" s="3"/>
      <c r="CK10" s="3"/>
      <c r="CL10" s="3"/>
      <c r="CM10" s="3"/>
      <c r="CN10" s="3">
        <f>CL10+CK10+CH10+Q10</f>
        <v>0</v>
      </c>
      <c r="CO10" s="3"/>
    </row>
    <row r="11" s="1" customFormat="1" ht="44" customHeight="1" spans="1:93">
      <c r="A11" s="52">
        <v>9</v>
      </c>
      <c r="B11" s="52">
        <v>2</v>
      </c>
      <c r="C11" s="53" t="s">
        <v>116</v>
      </c>
      <c r="D11" s="52" t="s">
        <v>99</v>
      </c>
      <c r="E11" s="52" t="s">
        <v>100</v>
      </c>
      <c r="F11" s="54"/>
      <c r="G11" s="54"/>
      <c r="H11" s="55" t="s">
        <v>117</v>
      </c>
      <c r="I11" s="52">
        <v>1</v>
      </c>
      <c r="J11" s="56">
        <f t="shared" si="8"/>
        <v>62.7039</v>
      </c>
      <c r="K11" s="52">
        <f t="shared" si="5"/>
        <v>62.7039</v>
      </c>
      <c r="L11" s="52" t="s">
        <v>102</v>
      </c>
      <c r="M11" s="52" t="s">
        <v>103</v>
      </c>
      <c r="N11" s="3">
        <v>3</v>
      </c>
      <c r="O11" s="3">
        <v>0.6</v>
      </c>
      <c r="P11" s="3">
        <v>15</v>
      </c>
      <c r="Q11" s="3">
        <f t="shared" ref="Q11:Q15" si="11">N11*P11</f>
        <v>45</v>
      </c>
      <c r="R11" s="3">
        <f>Q11/CN11</f>
        <v>0.717658710223766</v>
      </c>
      <c r="S11" s="8">
        <v>3</v>
      </c>
      <c r="T11" s="3">
        <v>2.73</v>
      </c>
      <c r="U11" s="3">
        <f t="shared" si="10"/>
        <v>8.19</v>
      </c>
      <c r="V11" s="3"/>
      <c r="W11" s="3"/>
      <c r="X11" s="3"/>
      <c r="Y11" s="3"/>
      <c r="Z11" s="3"/>
      <c r="AA11" s="3"/>
      <c r="AB11" s="3"/>
      <c r="AC11" s="3">
        <f t="shared" ref="AC11:AC15" si="12">SUM(U11:AB11)</f>
        <v>8.19</v>
      </c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  <c r="CA11" s="3"/>
      <c r="CB11" s="3"/>
      <c r="CC11" s="3"/>
      <c r="CD11" s="3"/>
      <c r="CE11" s="3"/>
      <c r="CF11" s="3"/>
      <c r="CG11" s="17">
        <f t="shared" ref="CG11:CG15" si="13">SUM(CE11+BM11+AC11)</f>
        <v>8.19</v>
      </c>
      <c r="CH11" s="3">
        <f t="shared" ref="CH11:CH15" si="14">CG11+Q11</f>
        <v>53.19</v>
      </c>
      <c r="CI11" s="3"/>
      <c r="CJ11" s="3"/>
      <c r="CK11" s="3">
        <f t="shared" ref="CK11:CK15" si="15">SUM(CG11:CJ11)*0.05</f>
        <v>3.069</v>
      </c>
      <c r="CL11" s="3">
        <f t="shared" ref="CL11:CL15" si="16">SUM(CG11:CK11)*0.1</f>
        <v>6.4449</v>
      </c>
      <c r="CM11" s="3"/>
      <c r="CN11" s="3">
        <f t="shared" ref="CN11:CN15" si="17">CL11+CK11+CH11</f>
        <v>62.7039</v>
      </c>
      <c r="CO11" s="3"/>
    </row>
    <row r="12" s="1" customFormat="1" ht="44" customHeight="1" spans="1:93">
      <c r="A12" s="52">
        <v>10</v>
      </c>
      <c r="B12" s="52">
        <v>1</v>
      </c>
      <c r="C12" s="53">
        <v>9048152</v>
      </c>
      <c r="D12" s="52" t="s">
        <v>99</v>
      </c>
      <c r="E12" s="52" t="s">
        <v>100</v>
      </c>
      <c r="F12" s="54"/>
      <c r="G12" s="54"/>
      <c r="H12" s="55" t="s">
        <v>118</v>
      </c>
      <c r="I12" s="52">
        <v>1</v>
      </c>
      <c r="J12" s="56">
        <f t="shared" si="8"/>
        <v>64.7115</v>
      </c>
      <c r="K12" s="52">
        <f t="shared" si="5"/>
        <v>64.7115</v>
      </c>
      <c r="L12" s="52" t="s">
        <v>102</v>
      </c>
      <c r="M12" s="52" t="s">
        <v>103</v>
      </c>
      <c r="N12" s="3">
        <v>3.1</v>
      </c>
      <c r="O12" s="3"/>
      <c r="P12" s="3">
        <v>15</v>
      </c>
      <c r="Q12" s="3">
        <f t="shared" si="11"/>
        <v>46.5</v>
      </c>
      <c r="R12" s="3">
        <f>Q12/CN12</f>
        <v>0.718573978350061</v>
      </c>
      <c r="S12" s="8">
        <v>3</v>
      </c>
      <c r="T12" s="3">
        <v>2.8</v>
      </c>
      <c r="U12" s="3">
        <f t="shared" si="10"/>
        <v>8.4</v>
      </c>
      <c r="V12" s="3"/>
      <c r="W12" s="3"/>
      <c r="X12" s="3"/>
      <c r="Y12" s="3"/>
      <c r="Z12" s="3"/>
      <c r="AA12" s="3"/>
      <c r="AB12" s="3"/>
      <c r="AC12" s="3">
        <f t="shared" si="12"/>
        <v>8.4</v>
      </c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>
        <v>0.5</v>
      </c>
      <c r="AO12" s="3" t="s">
        <v>119</v>
      </c>
      <c r="AP12" s="3">
        <f>AN12*AO12</f>
        <v>3</v>
      </c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  <c r="CA12" s="3"/>
      <c r="CB12" s="3"/>
      <c r="CC12" s="3"/>
      <c r="CD12" s="3"/>
      <c r="CE12" s="3"/>
      <c r="CF12" s="3"/>
      <c r="CG12" s="17">
        <f t="shared" si="13"/>
        <v>8.4</v>
      </c>
      <c r="CH12" s="3">
        <f t="shared" si="14"/>
        <v>54.9</v>
      </c>
      <c r="CI12" s="3"/>
      <c r="CJ12" s="3"/>
      <c r="CK12" s="3">
        <f t="shared" si="15"/>
        <v>3.165</v>
      </c>
      <c r="CL12" s="3">
        <f t="shared" si="16"/>
        <v>6.6465</v>
      </c>
      <c r="CM12" s="3"/>
      <c r="CN12" s="3">
        <f t="shared" si="17"/>
        <v>64.7115</v>
      </c>
      <c r="CO12" s="3"/>
    </row>
    <row r="13" s="1" customFormat="1" ht="44" customHeight="1" spans="1:93">
      <c r="A13" s="52">
        <v>11</v>
      </c>
      <c r="B13" s="52">
        <v>1</v>
      </c>
      <c r="C13" s="52" t="s">
        <v>120</v>
      </c>
      <c r="D13" s="52" t="s">
        <v>91</v>
      </c>
      <c r="E13" s="52" t="s">
        <v>94</v>
      </c>
      <c r="F13" s="54"/>
      <c r="G13" s="54"/>
      <c r="H13" s="55" t="s">
        <v>121</v>
      </c>
      <c r="I13" s="52">
        <v>1</v>
      </c>
      <c r="J13" s="56">
        <f>SUM(K14:K16)+CN13</f>
        <v>83.74586</v>
      </c>
      <c r="K13" s="52">
        <f t="shared" si="5"/>
        <v>83.74586</v>
      </c>
      <c r="N13" s="3"/>
      <c r="O13" s="3"/>
      <c r="P13" s="3"/>
      <c r="Q13" s="3"/>
      <c r="R13" s="3"/>
      <c r="S13" s="8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>
        <v>40</v>
      </c>
      <c r="BG13" s="3">
        <v>0.125</v>
      </c>
      <c r="BH13" s="3">
        <f>BF13*BG13</f>
        <v>5</v>
      </c>
      <c r="BI13" s="3" t="s">
        <v>96</v>
      </c>
      <c r="BJ13" s="3">
        <v>30</v>
      </c>
      <c r="BK13" s="3" t="s">
        <v>122</v>
      </c>
      <c r="BL13" s="3">
        <f>BJ13*BK13</f>
        <v>5.1</v>
      </c>
      <c r="BM13" s="3">
        <f>BK13*BJ13</f>
        <v>5.1</v>
      </c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  <c r="CA13" s="3" t="s">
        <v>97</v>
      </c>
      <c r="CB13" s="3">
        <v>35</v>
      </c>
      <c r="CC13" s="3">
        <v>0.23</v>
      </c>
      <c r="CD13" s="3">
        <f>CB13*CC13</f>
        <v>8.05</v>
      </c>
      <c r="CE13" s="3">
        <f>SUM(CD13)</f>
        <v>8.05</v>
      </c>
      <c r="CF13" s="3"/>
      <c r="CG13" s="17">
        <f t="shared" si="13"/>
        <v>13.15</v>
      </c>
      <c r="CH13" s="3">
        <f t="shared" si="14"/>
        <v>13.15</v>
      </c>
      <c r="CI13" s="3">
        <v>0.5</v>
      </c>
      <c r="CJ13" s="3">
        <v>0.6</v>
      </c>
      <c r="CK13" s="3">
        <f t="shared" si="15"/>
        <v>1.37</v>
      </c>
      <c r="CL13" s="3">
        <f t="shared" si="16"/>
        <v>2.877</v>
      </c>
      <c r="CM13" s="3"/>
      <c r="CN13" s="3">
        <f>CL13+CK13+CH13+CJ13+CI13</f>
        <v>18.497</v>
      </c>
      <c r="CO13" s="3"/>
    </row>
    <row r="14" s="1" customFormat="1" ht="44" customHeight="1" spans="1:93">
      <c r="A14" s="52">
        <v>12</v>
      </c>
      <c r="B14" s="52">
        <v>2</v>
      </c>
      <c r="C14" s="52" t="s">
        <v>123</v>
      </c>
      <c r="D14" s="52" t="s">
        <v>99</v>
      </c>
      <c r="E14" s="52" t="s">
        <v>100</v>
      </c>
      <c r="F14" s="54"/>
      <c r="G14" s="54"/>
      <c r="H14" s="55" t="s">
        <v>124</v>
      </c>
      <c r="I14" s="52">
        <v>1</v>
      </c>
      <c r="J14" s="56">
        <f>CN14</f>
        <v>51.8295</v>
      </c>
      <c r="K14" s="52">
        <f t="shared" si="5"/>
        <v>51.8295</v>
      </c>
      <c r="L14" s="57" t="s">
        <v>125</v>
      </c>
      <c r="M14" s="57" t="s">
        <v>126</v>
      </c>
      <c r="N14" s="3">
        <v>1.2</v>
      </c>
      <c r="O14" s="3">
        <v>0.8</v>
      </c>
      <c r="P14" s="3">
        <v>33</v>
      </c>
      <c r="Q14" s="3">
        <f t="shared" si="11"/>
        <v>39.6</v>
      </c>
      <c r="R14" s="3">
        <f>Q14/CN14</f>
        <v>0.764043643099007</v>
      </c>
      <c r="S14" s="8">
        <v>3</v>
      </c>
      <c r="T14" s="3">
        <v>1.55</v>
      </c>
      <c r="U14" s="3">
        <f>T14*S14</f>
        <v>4.65</v>
      </c>
      <c r="V14" s="3"/>
      <c r="W14" s="3"/>
      <c r="X14" s="3"/>
      <c r="Y14" s="3"/>
      <c r="Z14" s="3"/>
      <c r="AA14" s="3"/>
      <c r="AB14" s="3"/>
      <c r="AC14" s="3">
        <f t="shared" si="12"/>
        <v>4.65</v>
      </c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>
        <f>BK14*BJ14</f>
        <v>0</v>
      </c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  <c r="CA14" s="3"/>
      <c r="CB14" s="3"/>
      <c r="CC14" s="3"/>
      <c r="CD14" s="3"/>
      <c r="CE14" s="3"/>
      <c r="CF14" s="3"/>
      <c r="CG14" s="17">
        <f t="shared" si="13"/>
        <v>4.65</v>
      </c>
      <c r="CH14" s="3">
        <f t="shared" si="14"/>
        <v>44.25</v>
      </c>
      <c r="CI14" s="3"/>
      <c r="CJ14" s="3"/>
      <c r="CK14" s="3">
        <f t="shared" si="15"/>
        <v>2.445</v>
      </c>
      <c r="CL14" s="3">
        <f t="shared" si="16"/>
        <v>5.1345</v>
      </c>
      <c r="CM14" s="3"/>
      <c r="CN14" s="3">
        <f>CL14+CK14+CH14</f>
        <v>51.8295</v>
      </c>
      <c r="CO14" s="3"/>
    </row>
    <row r="15" s="1" customFormat="1" ht="44" customHeight="1" spans="1:93">
      <c r="A15" s="52">
        <v>13</v>
      </c>
      <c r="B15" s="52">
        <v>2</v>
      </c>
      <c r="C15" s="52" t="s">
        <v>127</v>
      </c>
      <c r="D15" s="52" t="s">
        <v>99</v>
      </c>
      <c r="E15" s="52" t="s">
        <v>128</v>
      </c>
      <c r="F15" s="54"/>
      <c r="G15" s="54"/>
      <c r="H15" s="55" t="s">
        <v>129</v>
      </c>
      <c r="I15" s="52">
        <v>4</v>
      </c>
      <c r="J15" s="56">
        <f>CN15</f>
        <v>3.22984</v>
      </c>
      <c r="K15" s="52">
        <f t="shared" si="5"/>
        <v>12.91936</v>
      </c>
      <c r="N15" s="3">
        <v>0.016</v>
      </c>
      <c r="O15" s="3">
        <v>0.016</v>
      </c>
      <c r="P15" s="3">
        <v>33</v>
      </c>
      <c r="Q15" s="3">
        <f t="shared" si="11"/>
        <v>0.528</v>
      </c>
      <c r="R15" s="3"/>
      <c r="S15" s="8"/>
      <c r="T15" s="3"/>
      <c r="U15" s="3">
        <f>T15*S15</f>
        <v>0</v>
      </c>
      <c r="V15" s="3"/>
      <c r="W15" s="3"/>
      <c r="X15" s="3"/>
      <c r="Y15" s="3"/>
      <c r="Z15" s="3"/>
      <c r="AA15" s="3"/>
      <c r="AB15" s="3"/>
      <c r="AC15" s="3">
        <f t="shared" si="12"/>
        <v>0</v>
      </c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>
        <v>50</v>
      </c>
      <c r="AU15" s="3">
        <v>0.04</v>
      </c>
      <c r="AV15" s="3">
        <f>AT15*AU15</f>
        <v>2</v>
      </c>
      <c r="AW15" s="3"/>
      <c r="AX15" s="3"/>
      <c r="AY15" s="3"/>
      <c r="AZ15" s="3"/>
      <c r="BA15" s="3"/>
      <c r="BB15" s="3"/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>
        <v>2</v>
      </c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  <c r="CA15" s="3"/>
      <c r="CB15" s="3"/>
      <c r="CC15" s="3"/>
      <c r="CD15" s="3"/>
      <c r="CE15" s="3"/>
      <c r="CF15" s="3"/>
      <c r="CG15" s="17">
        <f t="shared" si="13"/>
        <v>2</v>
      </c>
      <c r="CH15" s="3">
        <f t="shared" si="14"/>
        <v>2.528</v>
      </c>
      <c r="CI15" s="3"/>
      <c r="CJ15" s="3"/>
      <c r="CK15" s="3">
        <f t="shared" si="15"/>
        <v>0.2264</v>
      </c>
      <c r="CL15" s="3">
        <f t="shared" si="16"/>
        <v>0.47544</v>
      </c>
      <c r="CM15" s="3"/>
      <c r="CN15" s="3">
        <f t="shared" si="17"/>
        <v>3.22984</v>
      </c>
      <c r="CO15" s="3"/>
    </row>
    <row r="16" ht="44" customHeight="1" spans="1:93">
      <c r="A16" s="13">
        <v>14</v>
      </c>
      <c r="B16" s="13">
        <v>2</v>
      </c>
      <c r="C16" s="13" t="s">
        <v>130</v>
      </c>
      <c r="D16" s="13" t="s">
        <v>99</v>
      </c>
      <c r="E16" s="13" t="s">
        <v>131</v>
      </c>
      <c r="H16" s="6" t="s">
        <v>132</v>
      </c>
      <c r="I16" s="13">
        <v>1</v>
      </c>
      <c r="J16" s="13">
        <v>0.5</v>
      </c>
      <c r="K16" s="13">
        <f t="shared" si="5"/>
        <v>0.5</v>
      </c>
      <c r="O16" s="3">
        <v>0.01</v>
      </c>
      <c r="AD16" s="3"/>
      <c r="AP16" s="3"/>
      <c r="BN16" s="3"/>
      <c r="CF16" s="3"/>
      <c r="CG16" s="3"/>
      <c r="CH16" s="3"/>
    </row>
    <row r="17" ht="44" customHeight="1" spans="1:92">
      <c r="A17" s="13">
        <v>15</v>
      </c>
      <c r="B17" s="13">
        <v>1</v>
      </c>
      <c r="C17" s="13" t="s">
        <v>133</v>
      </c>
      <c r="D17" s="13" t="s">
        <v>99</v>
      </c>
      <c r="E17" s="13" t="s">
        <v>134</v>
      </c>
      <c r="G17" s="58" t="s">
        <v>135</v>
      </c>
      <c r="H17" s="6" t="s">
        <v>136</v>
      </c>
      <c r="I17" s="13">
        <v>1.2</v>
      </c>
      <c r="J17" s="13">
        <v>25</v>
      </c>
      <c r="K17" s="13">
        <f t="shared" si="5"/>
        <v>30</v>
      </c>
      <c r="O17" s="13">
        <v>0.67</v>
      </c>
      <c r="BM17" s="13"/>
      <c r="BN17" s="13"/>
      <c r="CE17" s="13"/>
      <c r="CF17" s="13"/>
      <c r="CG17" s="13"/>
      <c r="CH17" s="13"/>
      <c r="CI17" s="13"/>
      <c r="CJ17" s="13"/>
      <c r="CK17" s="17"/>
      <c r="CL17" s="17"/>
      <c r="CM17" s="13"/>
      <c r="CN17" s="13"/>
    </row>
    <row r="18" ht="44" customHeight="1" spans="1:92">
      <c r="A18" s="13">
        <v>16</v>
      </c>
      <c r="B18" s="13">
        <v>1</v>
      </c>
      <c r="C18" s="13" t="s">
        <v>137</v>
      </c>
      <c r="D18" s="13" t="s">
        <v>99</v>
      </c>
      <c r="E18" s="13" t="s">
        <v>112</v>
      </c>
      <c r="H18" s="6" t="s">
        <v>138</v>
      </c>
      <c r="I18" s="13">
        <v>4</v>
      </c>
      <c r="J18" s="13">
        <v>0.45</v>
      </c>
      <c r="K18" s="13">
        <f t="shared" si="5"/>
        <v>1.8</v>
      </c>
      <c r="BM18" s="13"/>
      <c r="BN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</row>
    <row r="19" ht="44" customHeight="1" spans="1:92">
      <c r="A19" s="13">
        <v>17</v>
      </c>
      <c r="B19" s="13">
        <v>1</v>
      </c>
      <c r="C19" s="13" t="s">
        <v>139</v>
      </c>
      <c r="D19" s="13" t="s">
        <v>99</v>
      </c>
      <c r="E19" s="13" t="s">
        <v>112</v>
      </c>
      <c r="H19" s="6" t="s">
        <v>140</v>
      </c>
      <c r="I19" s="13">
        <v>4</v>
      </c>
      <c r="J19" s="13">
        <v>0.4</v>
      </c>
      <c r="K19" s="13">
        <f t="shared" si="5"/>
        <v>1.6</v>
      </c>
      <c r="BM19" s="13"/>
      <c r="BN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</row>
    <row r="20" ht="44" customHeight="1" spans="1:92">
      <c r="A20" s="13">
        <v>18</v>
      </c>
      <c r="B20" s="13">
        <v>1</v>
      </c>
      <c r="C20" s="13" t="s">
        <v>141</v>
      </c>
      <c r="D20" s="13" t="s">
        <v>99</v>
      </c>
      <c r="E20" s="13" t="s">
        <v>112</v>
      </c>
      <c r="H20" s="6" t="s">
        <v>142</v>
      </c>
      <c r="I20" s="13">
        <v>4</v>
      </c>
      <c r="J20" s="13">
        <v>0.1</v>
      </c>
      <c r="K20" s="13">
        <f t="shared" si="5"/>
        <v>0.4</v>
      </c>
      <c r="BM20" s="13"/>
      <c r="BN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</row>
    <row r="21" ht="44" customHeight="1" spans="1:92">
      <c r="A21" s="13">
        <v>19</v>
      </c>
      <c r="B21" s="13">
        <v>1</v>
      </c>
      <c r="C21" s="13" t="s">
        <v>143</v>
      </c>
      <c r="D21" s="13" t="s">
        <v>99</v>
      </c>
      <c r="E21" s="13" t="s">
        <v>112</v>
      </c>
      <c r="H21" s="6" t="s">
        <v>144</v>
      </c>
      <c r="I21" s="13">
        <v>4</v>
      </c>
      <c r="J21" s="13">
        <v>0.05</v>
      </c>
      <c r="K21" s="13">
        <f t="shared" si="5"/>
        <v>0.2</v>
      </c>
      <c r="BM21" s="13"/>
      <c r="BN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</row>
    <row r="22" ht="44" customHeight="1" spans="1:92">
      <c r="A22" s="13">
        <v>20</v>
      </c>
      <c r="B22" s="13">
        <v>1</v>
      </c>
      <c r="C22" s="13" t="s">
        <v>145</v>
      </c>
      <c r="D22" s="13" t="s">
        <v>99</v>
      </c>
      <c r="E22" s="13" t="s">
        <v>146</v>
      </c>
      <c r="H22" s="6" t="s">
        <v>147</v>
      </c>
      <c r="I22" s="13">
        <v>4</v>
      </c>
      <c r="J22" s="13">
        <v>1</v>
      </c>
      <c r="K22" s="13">
        <f t="shared" si="5"/>
        <v>4</v>
      </c>
      <c r="BM22" s="13"/>
      <c r="BN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</row>
  </sheetData>
  <autoFilter xmlns:etc="http://www.wps.cn/officeDocument/2017/etCustomData" ref="A2:CV32" etc:filterBottomFollowUsedRange="0">
    <extLst/>
  </autoFilter>
  <mergeCells count="8">
    <mergeCell ref="A1:I1"/>
    <mergeCell ref="L1:Q1"/>
    <mergeCell ref="S1:AD1"/>
    <mergeCell ref="AE1:BN1"/>
    <mergeCell ref="BO1:CE1"/>
    <mergeCell ref="CI1:CL1"/>
    <mergeCell ref="CN1:CN2"/>
    <mergeCell ref="CO1:CO2"/>
  </mergeCells>
  <conditionalFormatting sqref="V2">
    <cfRule type="cellIs" dxfId="0" priority="599" operator="equal">
      <formula>"Y"</formula>
    </cfRule>
  </conditionalFormatting>
  <conditionalFormatting sqref="Y3:AA3">
    <cfRule type="cellIs" dxfId="0" priority="598" operator="equal">
      <formula>"Y"</formula>
    </cfRule>
  </conditionalFormatting>
  <conditionalFormatting sqref="Y4:AA4">
    <cfRule type="cellIs" dxfId="0" priority="100" operator="equal">
      <formula>"Y"</formula>
    </cfRule>
  </conditionalFormatting>
  <conditionalFormatting sqref="BF4:BH4">
    <cfRule type="cellIs" dxfId="0" priority="1" operator="equal">
      <formula>"Y"</formula>
    </cfRule>
  </conditionalFormatting>
  <conditionalFormatting sqref="S1:S2 S17:AB1048576">
    <cfRule type="cellIs" dxfId="0" priority="602" operator="equal">
      <formula>"Y"</formula>
    </cfRule>
  </conditionalFormatting>
  <conditionalFormatting sqref="AE1 AE2:BL2 AE17:BL1048576">
    <cfRule type="cellIs" dxfId="0" priority="601" operator="equal">
      <formula>"Y"</formula>
    </cfRule>
  </conditionalFormatting>
  <conditionalFormatting sqref="BO1:CD2 BO17:CD1048576">
    <cfRule type="cellIs" dxfId="0" priority="600" operator="equal">
      <formula>"Y"</formula>
    </cfRule>
  </conditionalFormatting>
  <conditionalFormatting sqref="AE3:AI3 AK3:AO3 AQ3:AR3 AT3:BL3">
    <cfRule type="cellIs" dxfId="0" priority="597" operator="equal">
      <formula>"Y"</formula>
    </cfRule>
  </conditionalFormatting>
  <conditionalFormatting sqref="BO3:BV3 BX3:BY3 CA3:CD3">
    <cfRule type="cellIs" dxfId="0" priority="596" operator="equal">
      <formula>"Y"</formula>
    </cfRule>
  </conditionalFormatting>
  <conditionalFormatting sqref="AE4:AI4 AK4:AO4 AQ4:AR4 AT4:BE4 BI4:BL4">
    <cfRule type="cellIs" dxfId="0" priority="99" operator="equal">
      <formula>"Y"</formula>
    </cfRule>
  </conditionalFormatting>
  <conditionalFormatting sqref="BO4:BV4 BX4:BY4 CA4:CD4">
    <cfRule type="cellIs" dxfId="0" priority="98" operator="equal">
      <formula>"Y"</formula>
    </cfRule>
  </conditionalFormatting>
  <hyperlinks>
    <hyperlink ref="G17" r:id="rId2" display="https://detail.1688.com/offer/788583236989.html?spm=a26352.13672862.offerlist.5.5bd41e62vFYPzu&amp;offerId=788583236989&amp;sortType=&amp;pageId=&amp;abBizDataType=cbuOffer&amp;trace_log=normal&amp;uuid=a54a42ae9ebe44e8a1d10f0f7ddc722d&amp;skuId=5380221472226&amp;forcePC=1779687491818"/>
  </hyperlinks>
  <pageMargins left="0.7" right="0.7" top="0.75" bottom="0.75" header="0.3" footer="0.3"/>
  <pageSetup paperSize="9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成本分析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leidu</dc:creator>
  <cp:lastModifiedBy>Ben</cp:lastModifiedBy>
  <dcterms:created xsi:type="dcterms:W3CDTF">2006-09-16T00:00:00Z</dcterms:created>
  <dcterms:modified xsi:type="dcterms:W3CDTF">2026-06-04T03:13:01Z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false</vt:bool>
  </property>
  <property fmtid="{D5CDD505-2E9C-101B-9397-08002B2CF9AE}" pid="3" name="ICV">
    <vt:lpwstr>F2983DEC0C074D33B7807A4218A8DD4F_13</vt:lpwstr>
  </property>
  <property fmtid="{D5CDD505-2E9C-101B-9397-08002B2CF9AE}" pid="4" name="KSOProductBuildVer">
    <vt:lpwstr>2052-12.1.0.26375</vt:lpwstr>
  </property>
  <property fmtid="{D5CDD505-2E9C-101B-9397-08002B2CF9AE}" pid="5" name="CalculationRule">
    <vt:i4>0</vt:i4>
  </property>
</Properties>
</file>